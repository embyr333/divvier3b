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300E2B-ED6D-403B-B09E-8B25BF49C96B}" xr6:coauthVersionLast="47" xr6:coauthVersionMax="47" xr10:uidLastSave="{00000000-0000-0000-0000-000000000000}"/>
  <bookViews>
    <workbookView xWindow="1092" yWindow="288" windowWidth="21024" windowHeight="133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1" l="1"/>
  <c r="K58" i="1"/>
  <c r="K72" i="1"/>
  <c r="K86" i="1"/>
  <c r="K100" i="1"/>
  <c r="K113" i="1"/>
  <c r="K30" i="1"/>
  <c r="F114" i="1"/>
  <c r="G114" i="1" s="1"/>
  <c r="C114" i="1"/>
  <c r="D114" i="1" s="1"/>
  <c r="F113" i="1"/>
  <c r="G113" i="1" s="1"/>
  <c r="C113" i="1"/>
  <c r="D113" i="1" s="1"/>
  <c r="F101" i="1"/>
  <c r="G101" i="1" s="1"/>
  <c r="C101" i="1"/>
  <c r="D101" i="1" s="1"/>
  <c r="F87" i="1"/>
  <c r="G87" i="1" s="1"/>
  <c r="C87" i="1"/>
  <c r="D87" i="1" s="1"/>
  <c r="F73" i="1"/>
  <c r="G73" i="1" s="1"/>
  <c r="C73" i="1"/>
  <c r="D73" i="1" s="1"/>
  <c r="F59" i="1"/>
  <c r="G59" i="1" s="1"/>
  <c r="C59" i="1"/>
  <c r="D59" i="1" s="1"/>
  <c r="F45" i="1"/>
  <c r="G45" i="1" s="1"/>
  <c r="C45" i="1"/>
  <c r="D45" i="1" s="1"/>
  <c r="F31" i="1"/>
  <c r="G31" i="1" s="1"/>
  <c r="C31" i="1"/>
  <c r="D31" i="1" s="1"/>
  <c r="F15" i="1"/>
  <c r="G15" i="1" s="1"/>
  <c r="C15" i="1"/>
  <c r="D15" i="1" s="1"/>
  <c r="F100" i="1"/>
  <c r="G100" i="1" s="1"/>
  <c r="C100" i="1"/>
  <c r="D100" i="1" s="1"/>
  <c r="F86" i="1"/>
  <c r="G86" i="1" s="1"/>
  <c r="C86" i="1"/>
  <c r="D86" i="1" s="1"/>
  <c r="F72" i="1"/>
  <c r="G72" i="1" s="1"/>
  <c r="C72" i="1"/>
  <c r="D72" i="1" s="1"/>
  <c r="F58" i="1"/>
  <c r="G58" i="1" s="1"/>
  <c r="C58" i="1"/>
  <c r="D58" i="1" s="1"/>
  <c r="F44" i="1"/>
  <c r="G44" i="1" s="1"/>
  <c r="C44" i="1"/>
  <c r="D44" i="1" s="1"/>
  <c r="F30" i="1"/>
  <c r="G30" i="1" s="1"/>
  <c r="C30" i="1"/>
  <c r="D30" i="1" s="1"/>
  <c r="F14" i="1"/>
  <c r="G14" i="1" s="1"/>
  <c r="C14" i="1"/>
  <c r="D14" i="1" s="1"/>
  <c r="I113" i="1" l="1"/>
  <c r="I86" i="1"/>
  <c r="I14" i="1"/>
  <c r="I30" i="1"/>
  <c r="I44" i="1"/>
  <c r="I58" i="1"/>
  <c r="I72" i="1"/>
  <c r="I100" i="1"/>
</calcChain>
</file>

<file path=xl/sharedStrings.xml><?xml version="1.0" encoding="utf-8"?>
<sst xmlns="http://schemas.openxmlformats.org/spreadsheetml/2006/main" count="16" uniqueCount="15">
  <si>
    <t>mean</t>
  </si>
  <si>
    <t>SD</t>
  </si>
  <si>
    <t>divvier3</t>
  </si>
  <si>
    <t>input #1</t>
  </si>
  <si>
    <t>input #2</t>
  </si>
  <si>
    <t>input #7</t>
  </si>
  <si>
    <t>input #6</t>
  </si>
  <si>
    <t>input #5</t>
  </si>
  <si>
    <t>input #4</t>
  </si>
  <si>
    <t>input #3</t>
  </si>
  <si>
    <t>divvier3b mean runtime relative to divvier 3</t>
  </si>
  <si>
    <t>2 dec places</t>
  </si>
  <si>
    <t>input #8</t>
  </si>
  <si>
    <t>divvier3b Snapshot5</t>
  </si>
  <si>
    <t>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</si>
</sst>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FF"/>
      <name val="Courier New"/>
      <family val="3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topLeftCell="A116" workbookViewId="0">
      <selection activeCell="C120" sqref="C120"/>
    </sheetView>
  </sheetViews>
  <sheetFormatPr defaultRowHeight="14.4" x14ac:dyDescent="0.3"/>
  <cols>
    <col min="4" max="4" width="8.88671875" style="2"/>
    <col min="7" max="7" width="8.88671875" style="2"/>
  </cols>
  <sheetData>
    <row r="1" spans="1:11" x14ac:dyDescent="0.3">
      <c r="C1" t="s">
        <v>2</v>
      </c>
      <c r="F1" t="s">
        <v>13</v>
      </c>
    </row>
    <row r="2" spans="1:11" x14ac:dyDescent="0.3">
      <c r="D2" s="3" t="s">
        <v>11</v>
      </c>
      <c r="G2" s="3" t="s">
        <v>11</v>
      </c>
      <c r="I2" t="s">
        <v>10</v>
      </c>
    </row>
    <row r="3" spans="1:11" x14ac:dyDescent="0.3">
      <c r="K3" t="s">
        <v>14</v>
      </c>
    </row>
    <row r="4" spans="1:11" x14ac:dyDescent="0.3">
      <c r="A4" t="s">
        <v>3</v>
      </c>
      <c r="C4" s="1">
        <v>8.0072879791259695</v>
      </c>
      <c r="F4" s="1">
        <v>0</v>
      </c>
    </row>
    <row r="5" spans="1:11" x14ac:dyDescent="0.3">
      <c r="C5" s="1">
        <v>6.0074329376220703</v>
      </c>
      <c r="F5" s="1">
        <v>0</v>
      </c>
    </row>
    <row r="6" spans="1:11" x14ac:dyDescent="0.3">
      <c r="C6" s="1">
        <v>7.0071220397949201</v>
      </c>
      <c r="F6" s="1">
        <v>0</v>
      </c>
    </row>
    <row r="7" spans="1:11" x14ac:dyDescent="0.3">
      <c r="C7" s="1">
        <v>6.12044334411621</v>
      </c>
      <c r="F7" s="1">
        <v>0</v>
      </c>
    </row>
    <row r="8" spans="1:11" x14ac:dyDescent="0.3">
      <c r="C8" s="1">
        <v>6.0071945190429599</v>
      </c>
      <c r="F8" s="1">
        <v>0</v>
      </c>
    </row>
    <row r="9" spans="1:11" x14ac:dyDescent="0.3">
      <c r="C9" s="1">
        <v>7.0073604583740199</v>
      </c>
      <c r="F9" s="1">
        <v>0</v>
      </c>
    </row>
    <row r="10" spans="1:11" x14ac:dyDescent="0.3">
      <c r="C10" s="1">
        <v>6.12640380859375</v>
      </c>
      <c r="F10" s="1">
        <v>0</v>
      </c>
    </row>
    <row r="11" spans="1:11" x14ac:dyDescent="0.3">
      <c r="C11" s="1">
        <v>6.0093402862548801</v>
      </c>
      <c r="F11" s="1">
        <v>0</v>
      </c>
    </row>
    <row r="12" spans="1:11" x14ac:dyDescent="0.3">
      <c r="C12" s="1">
        <v>5.9971809387206996</v>
      </c>
      <c r="F12" s="1">
        <v>0</v>
      </c>
    </row>
    <row r="13" spans="1:11" x14ac:dyDescent="0.3">
      <c r="C13" s="1">
        <v>5.9049129486083896</v>
      </c>
      <c r="F13" s="1">
        <v>0</v>
      </c>
    </row>
    <row r="14" spans="1:11" x14ac:dyDescent="0.3">
      <c r="A14" t="s">
        <v>0</v>
      </c>
      <c r="C14">
        <f>AVERAGE(C4:C13)</f>
        <v>6.419467926025388</v>
      </c>
      <c r="D14" s="2">
        <f>C14</f>
        <v>6.419467926025388</v>
      </c>
      <c r="F14">
        <f>AVERAGE(F4:F13)</f>
        <v>0</v>
      </c>
      <c r="G14" s="2">
        <f>F14</f>
        <v>0</v>
      </c>
      <c r="I14">
        <f>G14/D14</f>
        <v>0</v>
      </c>
    </row>
    <row r="15" spans="1:11" x14ac:dyDescent="0.3">
      <c r="A15" t="s">
        <v>1</v>
      </c>
      <c r="C15">
        <f>STDEV(C4:C13)</f>
        <v>0.69429978992989161</v>
      </c>
      <c r="D15" s="2">
        <f>C15</f>
        <v>0.69429978992989161</v>
      </c>
      <c r="F15">
        <f>STDEV(F4:F13)</f>
        <v>0</v>
      </c>
      <c r="G15" s="2">
        <f>F15</f>
        <v>0</v>
      </c>
    </row>
    <row r="20" spans="1:11" x14ac:dyDescent="0.3">
      <c r="A20" t="s">
        <v>4</v>
      </c>
      <c r="C20" s="1">
        <v>6.9968700408935502</v>
      </c>
      <c r="F20" s="1">
        <v>1.0113716125488199</v>
      </c>
    </row>
    <row r="21" spans="1:11" x14ac:dyDescent="0.3">
      <c r="C21" s="1">
        <v>7.1163177490234304</v>
      </c>
      <c r="F21" s="1">
        <v>1.01518630981445</v>
      </c>
    </row>
    <row r="22" spans="1:11" x14ac:dyDescent="0.3">
      <c r="C22" s="1">
        <v>8.1195831298828107</v>
      </c>
      <c r="F22" s="1">
        <v>0</v>
      </c>
    </row>
    <row r="23" spans="1:11" x14ac:dyDescent="0.3">
      <c r="C23" s="1">
        <v>7.0075988769531197</v>
      </c>
      <c r="F23" s="1">
        <v>0.81849098205566395</v>
      </c>
    </row>
    <row r="24" spans="1:11" x14ac:dyDescent="0.3">
      <c r="C24" s="1">
        <v>5.7406425476074201</v>
      </c>
      <c r="F24" s="1">
        <v>0</v>
      </c>
    </row>
    <row r="25" spans="1:11" x14ac:dyDescent="0.3">
      <c r="C25" s="1">
        <v>7.0071220397949201</v>
      </c>
      <c r="F25" s="1">
        <v>0</v>
      </c>
    </row>
    <row r="26" spans="1:11" x14ac:dyDescent="0.3">
      <c r="C26" s="1">
        <v>6.1056613922119096</v>
      </c>
      <c r="F26" s="1">
        <v>0</v>
      </c>
    </row>
    <row r="27" spans="1:11" x14ac:dyDescent="0.3">
      <c r="C27" s="1">
        <v>6.10280036926269</v>
      </c>
      <c r="F27" s="1">
        <v>0</v>
      </c>
    </row>
    <row r="28" spans="1:11" x14ac:dyDescent="0.3">
      <c r="C28" s="1">
        <v>6.9973468780517498</v>
      </c>
      <c r="F28" s="1">
        <v>0</v>
      </c>
    </row>
    <row r="29" spans="1:11" x14ac:dyDescent="0.3">
      <c r="C29" s="1">
        <v>4.99820709228515</v>
      </c>
      <c r="F29" s="1">
        <v>0</v>
      </c>
    </row>
    <row r="30" spans="1:11" x14ac:dyDescent="0.3">
      <c r="C30">
        <f>AVERAGE(C20:C29)</f>
        <v>6.6192150115966752</v>
      </c>
      <c r="D30" s="2">
        <f>C30</f>
        <v>6.6192150115966752</v>
      </c>
      <c r="F30">
        <f>AVERAGE(F20:F29)</f>
        <v>0.28450489044189337</v>
      </c>
      <c r="G30" s="2">
        <f>F30</f>
        <v>0.28450489044189337</v>
      </c>
      <c r="I30">
        <f>G30/D30</f>
        <v>4.2981666246442958E-2</v>
      </c>
      <c r="K30">
        <f>1/I30</f>
        <v>23.265733679711804</v>
      </c>
    </row>
    <row r="31" spans="1:11" x14ac:dyDescent="0.3">
      <c r="C31">
        <f>STDEV(C20:C29)</f>
        <v>0.88286869494684961</v>
      </c>
      <c r="D31" s="2">
        <f>C31</f>
        <v>0.88286869494684961</v>
      </c>
      <c r="F31">
        <f>STDEV(F20:F29)</f>
        <v>0.46115470327298919</v>
      </c>
      <c r="G31" s="2">
        <f>F31</f>
        <v>0.46115470327298919</v>
      </c>
    </row>
    <row r="34" spans="1:11" x14ac:dyDescent="0.3">
      <c r="A34" t="s">
        <v>9</v>
      </c>
      <c r="C34" s="1">
        <v>7.0068836212158203</v>
      </c>
      <c r="F34" s="1">
        <v>0</v>
      </c>
    </row>
    <row r="35" spans="1:11" x14ac:dyDescent="0.3">
      <c r="C35" s="1">
        <v>7.0071220397949201</v>
      </c>
      <c r="F35" s="1">
        <v>1.01566314697265</v>
      </c>
    </row>
    <row r="36" spans="1:11" x14ac:dyDescent="0.3">
      <c r="C36" s="1">
        <v>7.0056915283203098</v>
      </c>
      <c r="F36" s="1">
        <v>1.01470947265625</v>
      </c>
    </row>
    <row r="37" spans="1:11" x14ac:dyDescent="0.3">
      <c r="C37" s="1">
        <v>7.0068836212158203</v>
      </c>
      <c r="F37" s="1">
        <v>0.98109245300292902</v>
      </c>
    </row>
    <row r="38" spans="1:11" x14ac:dyDescent="0.3">
      <c r="C38" s="1">
        <v>6.0126781463623002</v>
      </c>
      <c r="F38" s="1">
        <v>0</v>
      </c>
    </row>
    <row r="39" spans="1:11" x14ac:dyDescent="0.3">
      <c r="C39" s="1">
        <v>7.0071220397949201</v>
      </c>
      <c r="F39" s="1">
        <v>0</v>
      </c>
    </row>
    <row r="40" spans="1:11" x14ac:dyDescent="0.3">
      <c r="C40" s="1">
        <v>6.0071945190429599</v>
      </c>
      <c r="F40" s="1">
        <v>0</v>
      </c>
    </row>
    <row r="41" spans="1:11" x14ac:dyDescent="0.3">
      <c r="C41" s="1">
        <v>6.0622692108154297</v>
      </c>
      <c r="F41" s="1">
        <v>0</v>
      </c>
    </row>
    <row r="42" spans="1:11" x14ac:dyDescent="0.3">
      <c r="C42" s="1">
        <v>5.99837303161621</v>
      </c>
      <c r="F42" s="1">
        <v>1.01637840270996</v>
      </c>
    </row>
    <row r="43" spans="1:11" x14ac:dyDescent="0.3">
      <c r="C43" s="1">
        <v>5.8104991912841797</v>
      </c>
      <c r="F43" s="1">
        <v>0</v>
      </c>
    </row>
    <row r="44" spans="1:11" x14ac:dyDescent="0.3">
      <c r="C44">
        <f>AVERAGE(C34:C43)</f>
        <v>6.4924716949462873</v>
      </c>
      <c r="D44" s="2">
        <f>C44</f>
        <v>6.4924716949462873</v>
      </c>
      <c r="F44">
        <f>AVERAGE(F34:F43)</f>
        <v>0.40278434753417891</v>
      </c>
      <c r="G44" s="2">
        <f>F44</f>
        <v>0.40278434753417891</v>
      </c>
      <c r="I44">
        <f t="shared" ref="I44:I86" si="0">G44/D44</f>
        <v>6.2038675940274728E-2</v>
      </c>
      <c r="K44">
        <f>1/I44</f>
        <v>16.118977151651499</v>
      </c>
    </row>
    <row r="45" spans="1:11" x14ac:dyDescent="0.3">
      <c r="C45">
        <f>STDEV(C34:C43)</f>
        <v>0.54592976359137102</v>
      </c>
      <c r="D45" s="2">
        <f>C45</f>
        <v>0.54592976359137102</v>
      </c>
      <c r="F45">
        <f t="shared" ref="F45" si="1">STDEV(F34:F43)</f>
        <v>0.52008782321043556</v>
      </c>
      <c r="G45" s="2">
        <f>F45</f>
        <v>0.52008782321043556</v>
      </c>
    </row>
    <row r="48" spans="1:11" x14ac:dyDescent="0.3">
      <c r="A48" t="s">
        <v>8</v>
      </c>
      <c r="C48" s="1">
        <v>8.1026554107665998</v>
      </c>
      <c r="F48" s="1">
        <v>10.0133419036865</v>
      </c>
    </row>
    <row r="49" spans="1:11" x14ac:dyDescent="0.3">
      <c r="C49" s="1">
        <v>6.9983005523681596</v>
      </c>
      <c r="F49" s="1">
        <v>8.9993476867675692</v>
      </c>
    </row>
    <row r="50" spans="1:11" x14ac:dyDescent="0.3">
      <c r="C50" s="1">
        <v>9.0088844299316406</v>
      </c>
      <c r="F50" s="1">
        <v>10.0140571594238</v>
      </c>
    </row>
    <row r="51" spans="1:11" x14ac:dyDescent="0.3">
      <c r="C51" s="1">
        <v>8.0072879791259695</v>
      </c>
      <c r="F51" s="1">
        <v>9.0043544769287092</v>
      </c>
    </row>
    <row r="52" spans="1:11" x14ac:dyDescent="0.3">
      <c r="C52" s="1">
        <v>8.0070495605468697</v>
      </c>
      <c r="F52" s="1">
        <v>7.9977512359619096</v>
      </c>
    </row>
    <row r="53" spans="1:11" x14ac:dyDescent="0.3">
      <c r="C53" s="1">
        <v>7.9970359802245996</v>
      </c>
      <c r="F53" s="1">
        <v>8.9972019195556605</v>
      </c>
    </row>
    <row r="54" spans="1:11" x14ac:dyDescent="0.3">
      <c r="C54" s="1">
        <v>7.8155994415283203</v>
      </c>
      <c r="F54" s="1">
        <v>9.3698501586913991</v>
      </c>
    </row>
    <row r="55" spans="1:11" x14ac:dyDescent="0.3">
      <c r="C55" s="1">
        <v>7.0078372955322203</v>
      </c>
      <c r="F55" s="1">
        <v>9.0055465698242099</v>
      </c>
    </row>
    <row r="56" spans="1:11" x14ac:dyDescent="0.3">
      <c r="C56" s="1">
        <v>9.1149806976318306</v>
      </c>
      <c r="F56" s="1">
        <v>8.9988708496093697</v>
      </c>
    </row>
    <row r="57" spans="1:11" x14ac:dyDescent="0.3">
      <c r="C57" s="1">
        <v>6.9975852966308496</v>
      </c>
      <c r="F57" s="1">
        <v>7.9987049102783203</v>
      </c>
    </row>
    <row r="58" spans="1:11" x14ac:dyDescent="0.3">
      <c r="C58">
        <f>AVERAGE(C48:C57)</f>
        <v>7.9057216644287056</v>
      </c>
      <c r="D58" s="2">
        <f>C58</f>
        <v>7.9057216644287056</v>
      </c>
      <c r="F58">
        <f>AVERAGE(F48:F57)</f>
        <v>9.0399026870727432</v>
      </c>
      <c r="G58" s="2">
        <f>F58</f>
        <v>9.0399026870727432</v>
      </c>
      <c r="I58">
        <f t="shared" si="0"/>
        <v>1.143463313127657</v>
      </c>
      <c r="K58">
        <f t="shared" ref="K31:K94" si="2">1/I58</f>
        <v>0.8745361469138444</v>
      </c>
    </row>
    <row r="59" spans="1:11" x14ac:dyDescent="0.3">
      <c r="C59">
        <f>STDEV(C48:C57)</f>
        <v>0.76080533736033329</v>
      </c>
      <c r="D59" s="2">
        <f>C59</f>
        <v>0.76080533736033329</v>
      </c>
      <c r="F59">
        <f>STDEV(F48:F57)</f>
        <v>0.68176195986278731</v>
      </c>
      <c r="G59" s="2">
        <f>F59</f>
        <v>0.68176195986278731</v>
      </c>
    </row>
    <row r="62" spans="1:11" x14ac:dyDescent="0.3">
      <c r="A62" t="s">
        <v>7</v>
      </c>
      <c r="C62" s="1">
        <v>7.0097446441650302</v>
      </c>
      <c r="F62" s="1">
        <v>0</v>
      </c>
    </row>
    <row r="63" spans="1:11" x14ac:dyDescent="0.3">
      <c r="C63" s="1">
        <v>6.8080425262451101</v>
      </c>
      <c r="F63" s="1">
        <v>1.00040435791015</v>
      </c>
    </row>
    <row r="64" spans="1:11" x14ac:dyDescent="0.3">
      <c r="C64" s="1">
        <v>8.0106258392333896</v>
      </c>
      <c r="F64" s="1">
        <v>1.10745429992675</v>
      </c>
    </row>
    <row r="65" spans="1:11" x14ac:dyDescent="0.3">
      <c r="C65" s="1">
        <v>6.0114860534667898</v>
      </c>
      <c r="F65" s="1">
        <v>1.05190277099609</v>
      </c>
    </row>
    <row r="66" spans="1:11" x14ac:dyDescent="0.3">
      <c r="C66" s="1">
        <v>6.0098171234130797</v>
      </c>
      <c r="F66" s="1">
        <v>0.95963478088378895</v>
      </c>
    </row>
    <row r="67" spans="1:11" x14ac:dyDescent="0.3">
      <c r="C67" s="1">
        <v>8.0070495605468697</v>
      </c>
      <c r="F67" s="1">
        <v>1.0499954223632799</v>
      </c>
    </row>
    <row r="68" spans="1:11" x14ac:dyDescent="0.3">
      <c r="C68" s="1">
        <v>6.0048103332519496</v>
      </c>
      <c r="F68" s="1">
        <v>1.13606452941894</v>
      </c>
    </row>
    <row r="69" spans="1:11" x14ac:dyDescent="0.3">
      <c r="C69" s="1">
        <v>6.0086250305175701</v>
      </c>
      <c r="F69" s="1">
        <v>0.97346305847167902</v>
      </c>
    </row>
    <row r="70" spans="1:11" x14ac:dyDescent="0.3">
      <c r="C70" s="1">
        <v>6.1075687408447203</v>
      </c>
      <c r="F70" s="1">
        <v>0</v>
      </c>
    </row>
    <row r="71" spans="1:11" x14ac:dyDescent="0.3">
      <c r="C71" s="1">
        <v>6.9987773895263601</v>
      </c>
      <c r="F71" s="1">
        <v>1.0471343994140601</v>
      </c>
    </row>
    <row r="72" spans="1:11" x14ac:dyDescent="0.3">
      <c r="C72">
        <f>AVERAGE(C62:C71)</f>
        <v>6.6976547241210884</v>
      </c>
      <c r="D72" s="2">
        <f>C72</f>
        <v>6.6976547241210884</v>
      </c>
      <c r="F72">
        <f>AVERAGE(F62:F71)</f>
        <v>0.83260536193847368</v>
      </c>
      <c r="G72" s="2">
        <f>F72</f>
        <v>0.83260536193847368</v>
      </c>
      <c r="I72">
        <f t="shared" si="0"/>
        <v>0.12431297166453049</v>
      </c>
      <c r="K72">
        <f t="shared" si="2"/>
        <v>8.0442128171353513</v>
      </c>
    </row>
    <row r="73" spans="1:11" x14ac:dyDescent="0.3">
      <c r="C73">
        <f>STDEV(C62:C71)</f>
        <v>0.80867609071657365</v>
      </c>
      <c r="D73" s="2">
        <f>C73</f>
        <v>0.80867609071657365</v>
      </c>
      <c r="F73">
        <f t="shared" ref="F73" si="3">STDEV(F62:F71)</f>
        <v>0.44216627709607514</v>
      </c>
      <c r="G73" s="2">
        <f>F73</f>
        <v>0.44216627709607514</v>
      </c>
    </row>
    <row r="76" spans="1:11" x14ac:dyDescent="0.3">
      <c r="A76" t="s">
        <v>6</v>
      </c>
      <c r="C76" s="1">
        <v>82.9968452453613</v>
      </c>
      <c r="F76" s="1">
        <v>10.016918182373001</v>
      </c>
    </row>
    <row r="77" spans="1:11" x14ac:dyDescent="0.3">
      <c r="C77" s="1">
        <v>78.007459640502901</v>
      </c>
      <c r="F77" s="1">
        <v>8.0072879791259695</v>
      </c>
    </row>
    <row r="78" spans="1:11" x14ac:dyDescent="0.3">
      <c r="C78" s="1">
        <v>79.010248184204102</v>
      </c>
      <c r="F78" s="1">
        <v>9.2375278472900302</v>
      </c>
    </row>
    <row r="79" spans="1:11" x14ac:dyDescent="0.3">
      <c r="C79" s="1">
        <v>77.801465988159094</v>
      </c>
      <c r="F79" s="1">
        <v>6.99615478515625</v>
      </c>
    </row>
    <row r="80" spans="1:11" x14ac:dyDescent="0.3">
      <c r="C80" s="1">
        <v>84.007501602172795</v>
      </c>
      <c r="F80" s="1">
        <v>8.0046653747558594</v>
      </c>
    </row>
    <row r="81" spans="1:11" x14ac:dyDescent="0.3">
      <c r="C81" s="1">
        <v>77.001333236694293</v>
      </c>
      <c r="F81" s="1">
        <v>9.0091228485107404</v>
      </c>
    </row>
    <row r="82" spans="1:11" x14ac:dyDescent="0.3">
      <c r="C82" s="1">
        <v>76.998710632324205</v>
      </c>
      <c r="F82" s="1">
        <v>8.1186294555663991</v>
      </c>
    </row>
    <row r="83" spans="1:11" x14ac:dyDescent="0.3">
      <c r="C83" s="1">
        <v>89.160919189453097</v>
      </c>
      <c r="F83" s="1">
        <v>7.1058273315429599</v>
      </c>
    </row>
    <row r="84" spans="1:11" x14ac:dyDescent="0.3">
      <c r="C84" s="1">
        <v>81.996917724609304</v>
      </c>
      <c r="F84" s="1">
        <v>7.9979896545410103</v>
      </c>
    </row>
    <row r="85" spans="1:11" x14ac:dyDescent="0.3">
      <c r="C85" s="1">
        <v>88.014602661132798</v>
      </c>
      <c r="F85" s="1">
        <v>8.0075263977050692</v>
      </c>
    </row>
    <row r="86" spans="1:11" x14ac:dyDescent="0.3">
      <c r="C86">
        <f>AVERAGE(C76:C85)</f>
        <v>81.499600410461397</v>
      </c>
      <c r="D86" s="2">
        <f>C86</f>
        <v>81.499600410461397</v>
      </c>
      <c r="F86">
        <f>AVERAGE(F76:F85)</f>
        <v>8.2501649856567276</v>
      </c>
      <c r="G86" s="2">
        <f>F86</f>
        <v>8.2501649856567276</v>
      </c>
      <c r="I86">
        <f t="shared" si="0"/>
        <v>0.1012295145510643</v>
      </c>
      <c r="K86">
        <f t="shared" si="2"/>
        <v>9.8785418900291102</v>
      </c>
    </row>
    <row r="87" spans="1:11" x14ac:dyDescent="0.3">
      <c r="C87">
        <f>STDEV(C76:C85)</f>
        <v>4.5028414607282965</v>
      </c>
      <c r="D87" s="2">
        <f>C87</f>
        <v>4.5028414607282965</v>
      </c>
      <c r="F87">
        <f t="shared" ref="F87" si="4">STDEV(F76:F85)</f>
        <v>0.93174843664574747</v>
      </c>
      <c r="G87" s="2">
        <f>F87</f>
        <v>0.93174843664574747</v>
      </c>
    </row>
    <row r="90" spans="1:11" x14ac:dyDescent="0.3">
      <c r="A90" t="s">
        <v>5</v>
      </c>
      <c r="C90" s="1">
        <v>470.07226943969698</v>
      </c>
      <c r="F90" s="1">
        <v>32.007694244384702</v>
      </c>
    </row>
    <row r="91" spans="1:11" x14ac:dyDescent="0.3">
      <c r="C91" s="1">
        <v>503.03554534912098</v>
      </c>
      <c r="F91" s="1">
        <v>28.118371963500898</v>
      </c>
    </row>
    <row r="92" spans="1:11" x14ac:dyDescent="0.3">
      <c r="C92" s="1">
        <v>468.024015426635</v>
      </c>
      <c r="F92" s="1">
        <v>32.116413116455</v>
      </c>
    </row>
    <row r="93" spans="1:11" x14ac:dyDescent="0.3">
      <c r="C93" s="1">
        <v>515.02037048339798</v>
      </c>
      <c r="F93" s="1">
        <v>28.748273849487301</v>
      </c>
    </row>
    <row r="94" spans="1:11" x14ac:dyDescent="0.3">
      <c r="C94" s="1">
        <v>483.97850990295399</v>
      </c>
      <c r="F94" s="1">
        <v>33.010482788085902</v>
      </c>
    </row>
    <row r="95" spans="1:11" x14ac:dyDescent="0.3">
      <c r="C95" s="1">
        <v>491.11652374267499</v>
      </c>
      <c r="F95" s="1">
        <v>29.004573822021399</v>
      </c>
    </row>
    <row r="96" spans="1:11" x14ac:dyDescent="0.3">
      <c r="C96" s="1">
        <v>458.99605751037598</v>
      </c>
      <c r="F96" s="1">
        <v>28.008222579956001</v>
      </c>
    </row>
    <row r="97" spans="1:11" x14ac:dyDescent="0.3">
      <c r="C97" s="1">
        <v>497.10512161254798</v>
      </c>
      <c r="F97" s="1">
        <v>32.006025314330998</v>
      </c>
    </row>
    <row r="98" spans="1:11" x14ac:dyDescent="0.3">
      <c r="C98" s="1">
        <v>437.99996376037598</v>
      </c>
      <c r="F98" s="1">
        <v>27.997732162475501</v>
      </c>
    </row>
    <row r="99" spans="1:11" x14ac:dyDescent="0.3">
      <c r="C99" s="1">
        <v>455.23643493652298</v>
      </c>
      <c r="F99" s="1">
        <v>33.009767532348597</v>
      </c>
    </row>
    <row r="100" spans="1:11" x14ac:dyDescent="0.3">
      <c r="C100">
        <f>AVERAGE(C90:C99)</f>
        <v>478.05848121643032</v>
      </c>
      <c r="D100" s="2">
        <f>C100</f>
        <v>478.05848121643032</v>
      </c>
      <c r="F100">
        <f>AVERAGE(F90:F99)</f>
        <v>30.402755737304624</v>
      </c>
      <c r="G100" s="2">
        <f>F100</f>
        <v>30.402755737304624</v>
      </c>
      <c r="I100">
        <f t="shared" ref="I100" si="5">G100/D100</f>
        <v>6.3596310769226685E-2</v>
      </c>
      <c r="K100">
        <f t="shared" ref="K95:K114" si="6">1/I100</f>
        <v>15.724182549341922</v>
      </c>
    </row>
    <row r="101" spans="1:11" x14ac:dyDescent="0.3">
      <c r="C101">
        <f>STDEV(C90:C99)</f>
        <v>24.064139785339911</v>
      </c>
      <c r="D101" s="2">
        <f>C101</f>
        <v>24.064139785339911</v>
      </c>
      <c r="F101">
        <f t="shared" ref="F101" si="7">STDEV(F90:F99)</f>
        <v>2.1885620109154962</v>
      </c>
      <c r="G101" s="2">
        <f>F101</f>
        <v>2.1885620109154962</v>
      </c>
    </row>
    <row r="103" spans="1:11" x14ac:dyDescent="0.3">
      <c r="A103" t="s">
        <v>12</v>
      </c>
      <c r="C103" s="1">
        <v>9.9997520446777308</v>
      </c>
      <c r="F103" s="1">
        <v>11.120319366455</v>
      </c>
    </row>
    <row r="104" spans="1:11" x14ac:dyDescent="0.3">
      <c r="C104" s="1">
        <v>7.9011917114257804</v>
      </c>
      <c r="F104" s="1">
        <v>8.9972019195556605</v>
      </c>
    </row>
    <row r="105" spans="1:11" x14ac:dyDescent="0.3">
      <c r="C105" s="1">
        <v>9.0012550354003906</v>
      </c>
      <c r="F105" s="1">
        <v>11.001110076904199</v>
      </c>
    </row>
    <row r="106" spans="1:11" x14ac:dyDescent="0.3">
      <c r="C106" s="1">
        <v>6.89029693603515</v>
      </c>
      <c r="F106" s="1">
        <v>9.0088844299316406</v>
      </c>
    </row>
    <row r="107" spans="1:11" x14ac:dyDescent="0.3">
      <c r="C107" s="1">
        <v>6.9987773895263601</v>
      </c>
      <c r="F107" s="1">
        <v>8.0075263977050692</v>
      </c>
    </row>
    <row r="108" spans="1:11" x14ac:dyDescent="0.3">
      <c r="C108" s="1">
        <v>8.9960098266601491</v>
      </c>
      <c r="F108" s="1">
        <v>9.1185569763183594</v>
      </c>
    </row>
    <row r="109" spans="1:11" x14ac:dyDescent="0.3">
      <c r="C109" s="1">
        <v>8.1269741058349592</v>
      </c>
      <c r="F109" s="1">
        <v>9.33837890625</v>
      </c>
    </row>
    <row r="110" spans="1:11" x14ac:dyDescent="0.3">
      <c r="C110" s="1">
        <v>7.1034431457519496</v>
      </c>
      <c r="F110" s="1">
        <v>9.0098381042480398</v>
      </c>
    </row>
    <row r="111" spans="1:11" x14ac:dyDescent="0.3">
      <c r="C111" s="1">
        <v>8.0010890960693306</v>
      </c>
      <c r="F111" s="1">
        <v>9.1207027435302699</v>
      </c>
    </row>
    <row r="112" spans="1:11" x14ac:dyDescent="0.3">
      <c r="C112" s="1">
        <v>7.11226463317871</v>
      </c>
      <c r="F112" s="1">
        <v>7.0004463195800701</v>
      </c>
    </row>
    <row r="113" spans="3:11" x14ac:dyDescent="0.3">
      <c r="C113">
        <f>AVERAGE(C103:C112)</f>
        <v>8.0131053924560511</v>
      </c>
      <c r="D113" s="2">
        <f>C113</f>
        <v>8.0131053924560511</v>
      </c>
      <c r="F113">
        <f>AVERAGE(F103:F112)</f>
        <v>9.1722965240478302</v>
      </c>
      <c r="G113" s="2">
        <f>F113</f>
        <v>9.1722965240478302</v>
      </c>
      <c r="I113">
        <f>G113/D113</f>
        <v>1.1446619100608737</v>
      </c>
      <c r="K113">
        <f t="shared" si="6"/>
        <v>0.87362040372848559</v>
      </c>
    </row>
    <row r="114" spans="3:11" x14ac:dyDescent="0.3">
      <c r="C114">
        <f>STDEV(C103:C112)</f>
        <v>1.045811780158866</v>
      </c>
      <c r="D114" s="2">
        <f>C114</f>
        <v>1.045811780158866</v>
      </c>
      <c r="F114">
        <f t="shared" ref="F114" si="8">STDEV(F103:F112)</f>
        <v>1.2170028005794593</v>
      </c>
      <c r="G114" s="2">
        <f>F114</f>
        <v>1.2170028005794593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Byrne</dc:creator>
  <cp:lastModifiedBy>Elaine Byrne</cp:lastModifiedBy>
  <dcterms:created xsi:type="dcterms:W3CDTF">2015-06-05T18:17:20Z</dcterms:created>
  <dcterms:modified xsi:type="dcterms:W3CDTF">2026-06-30T15:24:03Z</dcterms:modified>
</cp:coreProperties>
</file>