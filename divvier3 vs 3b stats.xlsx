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D1C0B13D-62B4-4BFA-B394-31188B1CF3F2}" xr6:coauthVersionLast="47" xr6:coauthVersionMax="47" xr10:uidLastSave="{00000000-0000-0000-0000-000000000000}"/>
  <bookViews>
    <workbookView xWindow="2016" yWindow="288" windowWidth="21024" windowHeight="13392"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5" i="1" l="1"/>
  <c r="F101" i="1"/>
  <c r="G101" i="1" s="1"/>
  <c r="C101" i="1"/>
  <c r="D101" i="1" s="1"/>
  <c r="F87" i="1"/>
  <c r="G87" i="1" s="1"/>
  <c r="C87" i="1"/>
  <c r="D87" i="1" s="1"/>
  <c r="F73" i="1"/>
  <c r="G73" i="1" s="1"/>
  <c r="C73" i="1"/>
  <c r="D73" i="1" s="1"/>
  <c r="F59" i="1"/>
  <c r="G59" i="1" s="1"/>
  <c r="C59" i="1"/>
  <c r="D59" i="1" s="1"/>
  <c r="F45" i="1"/>
  <c r="G45" i="1" s="1"/>
  <c r="C45" i="1"/>
  <c r="F31" i="1"/>
  <c r="G31" i="1" s="1"/>
  <c r="C31" i="1"/>
  <c r="D31" i="1" s="1"/>
  <c r="F15" i="1"/>
  <c r="G15" i="1" s="1"/>
  <c r="C15" i="1"/>
  <c r="D15" i="1" s="1"/>
  <c r="F100" i="1"/>
  <c r="G100" i="1" s="1"/>
  <c r="C100" i="1"/>
  <c r="D100" i="1" s="1"/>
  <c r="F86" i="1"/>
  <c r="G86" i="1" s="1"/>
  <c r="C86" i="1"/>
  <c r="D86" i="1" s="1"/>
  <c r="F72" i="1"/>
  <c r="G72" i="1" s="1"/>
  <c r="C72" i="1"/>
  <c r="D72" i="1" s="1"/>
  <c r="F58" i="1"/>
  <c r="G58" i="1" s="1"/>
  <c r="C58" i="1"/>
  <c r="D58" i="1" s="1"/>
  <c r="F44" i="1"/>
  <c r="G44" i="1" s="1"/>
  <c r="C44" i="1"/>
  <c r="D44" i="1" s="1"/>
  <c r="F30" i="1"/>
  <c r="G30" i="1" s="1"/>
  <c r="C30" i="1"/>
  <c r="D30" i="1" s="1"/>
  <c r="F14" i="1"/>
  <c r="G14" i="1" s="1"/>
  <c r="C14" i="1"/>
  <c r="D14" i="1" s="1"/>
  <c r="I86" i="1" l="1"/>
  <c r="I14" i="1"/>
  <c r="I30" i="1"/>
  <c r="I44" i="1"/>
  <c r="I58" i="1"/>
  <c r="I72" i="1"/>
  <c r="I100" i="1"/>
</calcChain>
</file>

<file path=xl/sharedStrings.xml><?xml version="1.0" encoding="utf-8"?>
<sst xmlns="http://schemas.openxmlformats.org/spreadsheetml/2006/main" count="73" uniqueCount="63">
  <si>
    <t>mean</t>
  </si>
  <si>
    <t>SD</t>
  </si>
  <si>
    <t>divvier3</t>
  </si>
  <si>
    <t>divvier3b</t>
  </si>
  <si>
    <t>input #1</t>
  </si>
  <si>
    <t>input #2</t>
  </si>
  <si>
    <t>input #7</t>
  </si>
  <si>
    <t>input #6</t>
  </si>
  <si>
    <t>input #5</t>
  </si>
  <si>
    <t>input #4</t>
  </si>
  <si>
    <t>input #3</t>
  </si>
  <si>
    <t>divvier3b mean runtime relative to divvier 3</t>
  </si>
  <si>
    <t>2 dec places</t>
  </si>
  <si>
    <t>Conversation with Gemini</t>
  </si>
  <si>
    <t>Can you determine the statistical significance (o otherwise) of the runtimes measured for 7 input classes for my programs divvier3 and divvier3b? (I have already calculated means and SDs, but the raw data is represented by the sets of 10 measurements for each)</t>
  </si>
  <si>
    <r>
      <t xml:space="preserve">To determine if the differences in runtimes between </t>
    </r>
    <r>
      <rPr>
        <sz val="10"/>
        <color rgb="FF1F1F1F"/>
        <rFont val="Arial Unicode MS"/>
      </rPr>
      <t>divvier3</t>
    </r>
    <r>
      <rPr>
        <sz val="10"/>
        <color rgb="FF1F1F1F"/>
        <rFont val="Arial"/>
        <family val="2"/>
      </rPr>
      <t xml:space="preserve"> and </t>
    </r>
    <r>
      <rPr>
        <sz val="10"/>
        <color rgb="FF1F1F1F"/>
        <rFont val="Arial Unicode MS"/>
      </rPr>
      <t>divvier3b</t>
    </r>
    <r>
      <rPr>
        <sz val="10"/>
        <color rgb="FF1F1F1F"/>
        <rFont val="Arial"/>
        <family val="2"/>
      </rPr>
      <t xml:space="preserve"> are statistically significant, we can apply an </t>
    </r>
    <r>
      <rPr>
        <b/>
        <sz val="10"/>
        <color rgb="FF1F1F1F"/>
        <rFont val="Arial"/>
        <family val="2"/>
      </rPr>
      <t>unpaired two-sample t-test</t>
    </r>
    <r>
      <rPr>
        <sz val="10"/>
        <color rgb="FF1F1F1F"/>
        <rFont val="Arial"/>
        <family val="2"/>
      </rPr>
      <t xml:space="preserve"> (assuming independent benchmark runs) for each of the 7 input classes. Each test uses a sample size of </t>
    </r>
    <r>
      <rPr>
        <i/>
        <sz val="13.3"/>
        <color rgb="FF1F1F1F"/>
        <rFont val="KaTeX_Math"/>
      </rPr>
      <t>n</t>
    </r>
    <r>
      <rPr>
        <sz val="7.7"/>
        <color rgb="FF1F1F1F"/>
        <rFont val="Times New Roman"/>
        <family val="1"/>
      </rPr>
      <t>1</t>
    </r>
    <r>
      <rPr>
        <sz val="1"/>
        <color rgb="FF1F1F1F"/>
        <rFont val="Times New Roman"/>
        <family val="1"/>
      </rPr>
      <t>​</t>
    </r>
    <r>
      <rPr>
        <sz val="13.3"/>
        <color rgb="FF1F1F1F"/>
        <rFont val="Times New Roman"/>
        <family val="1"/>
      </rPr>
      <t>=</t>
    </r>
    <r>
      <rPr>
        <i/>
        <sz val="13.3"/>
        <color rgb="FF1F1F1F"/>
        <rFont val="KaTeX_Math"/>
      </rPr>
      <t>n</t>
    </r>
    <r>
      <rPr>
        <sz val="7.7"/>
        <color rgb="FF1F1F1F"/>
        <rFont val="Times New Roman"/>
        <family val="1"/>
      </rPr>
      <t>2</t>
    </r>
    <r>
      <rPr>
        <sz val="1"/>
        <color rgb="FF1F1F1F"/>
        <rFont val="Times New Roman"/>
        <family val="1"/>
      </rPr>
      <t>​</t>
    </r>
    <r>
      <rPr>
        <sz val="13.3"/>
        <color rgb="FF1F1F1F"/>
        <rFont val="Times New Roman"/>
        <family val="1"/>
      </rPr>
      <t>=10</t>
    </r>
    <r>
      <rPr>
        <sz val="10"/>
        <color rgb="FF1F1F1F"/>
        <rFont val="Arial"/>
        <family val="2"/>
      </rPr>
      <t xml:space="preserve"> (degrees of freedom </t>
    </r>
    <r>
      <rPr>
        <i/>
        <sz val="13.3"/>
        <color rgb="FF1F1F1F"/>
        <rFont val="KaTeX_Math"/>
      </rPr>
      <t>df</t>
    </r>
    <r>
      <rPr>
        <sz val="13.3"/>
        <color rgb="FF1F1F1F"/>
        <rFont val="Times New Roman"/>
        <family val="1"/>
      </rPr>
      <t>=18</t>
    </r>
    <r>
      <rPr>
        <sz val="10"/>
        <color rgb="FF1F1F1F"/>
        <rFont val="Arial"/>
        <family val="2"/>
      </rPr>
      <t>).</t>
    </r>
  </si>
  <si>
    <r>
      <t>At a standard significance level (</t>
    </r>
    <r>
      <rPr>
        <i/>
        <sz val="13.3"/>
        <color rgb="FF1F1F1F"/>
        <rFont val="KaTeX_Math"/>
      </rPr>
      <t>α</t>
    </r>
    <r>
      <rPr>
        <sz val="13.3"/>
        <color rgb="FF1F1F1F"/>
        <rFont val="Times New Roman"/>
        <family val="1"/>
      </rPr>
      <t>=0.05</t>
    </r>
    <r>
      <rPr>
        <sz val="10"/>
        <color rgb="FF1F1F1F"/>
        <rFont val="Arial"/>
        <family val="2"/>
      </rPr>
      <t xml:space="preserve">), a critical </t>
    </r>
    <r>
      <rPr>
        <i/>
        <sz val="13.3"/>
        <color rgb="FF1F1F1F"/>
        <rFont val="KaTeX_Math"/>
      </rPr>
      <t>t</t>
    </r>
    <r>
      <rPr>
        <sz val="10"/>
        <color rgb="FF1F1F1F"/>
        <rFont val="Arial"/>
        <family val="2"/>
      </rPr>
      <t xml:space="preserve">-value of approximately </t>
    </r>
    <r>
      <rPr>
        <b/>
        <sz val="10"/>
        <color rgb="FF1F1F1F"/>
        <rFont val="Arial"/>
        <family val="2"/>
      </rPr>
      <t>2.10</t>
    </r>
    <r>
      <rPr>
        <sz val="10"/>
        <color rgb="FF1F1F1F"/>
        <rFont val="Arial"/>
        <family val="2"/>
      </rPr>
      <t xml:space="preserve"> is required, while a value above </t>
    </r>
    <r>
      <rPr>
        <b/>
        <sz val="10"/>
        <color rgb="FF1F1F1F"/>
        <rFont val="Arial"/>
        <family val="2"/>
      </rPr>
      <t>2.88</t>
    </r>
    <r>
      <rPr>
        <sz val="10"/>
        <color rgb="FF1F1F1F"/>
        <rFont val="Arial"/>
        <family val="2"/>
      </rPr>
      <t xml:space="preserve"> indicates high significance (</t>
    </r>
    <r>
      <rPr>
        <i/>
        <sz val="13.3"/>
        <color rgb="FF1F1F1F"/>
        <rFont val="KaTeX_Math"/>
      </rPr>
      <t>p</t>
    </r>
    <r>
      <rPr>
        <sz val="13.3"/>
        <color rgb="FF1F1F1F"/>
        <rFont val="Times New Roman"/>
        <family val="1"/>
      </rPr>
      <t>&lt;0.01</t>
    </r>
    <r>
      <rPr>
        <sz val="10"/>
        <color rgb="FF1F1F1F"/>
        <rFont val="Arial"/>
        <family val="2"/>
      </rPr>
      <t>).</t>
    </r>
  </si>
  <si>
    <t>Here is the statistical breakdown for each input class:</t>
  </si>
  <si>
    <t>Statistical Significance Summary</t>
  </si>
  <si>
    <t>Input Class</t>
  </si>
  <si>
    <r>
      <t>divvier3</t>
    </r>
    <r>
      <rPr>
        <sz val="10"/>
        <color rgb="FF1F1F1F"/>
        <rFont val="Arial"/>
        <family val="2"/>
      </rPr>
      <t> Mean (SD)</t>
    </r>
  </si>
  <si>
    <r>
      <t>divvier3b</t>
    </r>
    <r>
      <rPr>
        <sz val="10"/>
        <color rgb="FF1F1F1F"/>
        <rFont val="Arial"/>
        <family val="2"/>
      </rPr>
      <t> Mean (SD)</t>
    </r>
  </si>
  <si>
    <r>
      <t>Approximate </t>
    </r>
    <r>
      <rPr>
        <i/>
        <sz val="13.3"/>
        <color rgb="FF1F1F1F"/>
        <rFont val="KaTeX_Math"/>
      </rPr>
      <t>t</t>
    </r>
    <r>
      <rPr>
        <sz val="10"/>
        <color rgb="FF1F1F1F"/>
        <rFont val="Arial"/>
        <family val="2"/>
      </rPr>
      <t>-statistic</t>
    </r>
  </si>
  <si>
    <t>Statistically Significant?</t>
  </si>
  <si>
    <t>Conclusion</t>
  </si>
  <si>
    <t>Input #1</t>
  </si>
  <si>
    <t>6.42 (0.69)</t>
  </si>
  <si>
    <t>4.00 (0.83)</t>
  </si>
  <si>
    <t>≈7.07</t>
  </si>
  <si>
    <t>Yes (Highly Significant)</t>
  </si>
  <si>
    <r>
      <t>divvier3b</t>
    </r>
    <r>
      <rPr>
        <sz val="10"/>
        <color rgb="FF1F1F1F"/>
        <rFont val="Arial"/>
        <family val="2"/>
      </rPr>
      <t> is significantly faster.</t>
    </r>
  </si>
  <si>
    <t>Input #2</t>
  </si>
  <si>
    <t>6.62 (0.88)</t>
  </si>
  <si>
    <t>3.73 (0.67)</t>
  </si>
  <si>
    <t>≈8.26</t>
  </si>
  <si>
    <t>Input #3</t>
  </si>
  <si>
    <t>6.49 (0.55)</t>
  </si>
  <si>
    <t>6.52 (0.71)</t>
  </si>
  <si>
    <t>≈−0.11</t>
  </si>
  <si>
    <t>No</t>
  </si>
  <si>
    <t>No detectable performance difference.</t>
  </si>
  <si>
    <t>Input #4</t>
  </si>
  <si>
    <t>7.91 (0.76)</t>
  </si>
  <si>
    <t>7.91 (0.72)</t>
  </si>
  <si>
    <t>≈−0.01</t>
  </si>
  <si>
    <t>Input #5</t>
  </si>
  <si>
    <t>6.70 (0.81)</t>
  </si>
  <si>
    <t>5.38 (0.83)</t>
  </si>
  <si>
    <t>≈3.60</t>
  </si>
  <si>
    <t>Yes (Significant)</t>
  </si>
  <si>
    <t>Input #6</t>
  </si>
  <si>
    <t>81.50 (4.50)</t>
  </si>
  <si>
    <t>57.62 (5.66)</t>
  </si>
  <si>
    <t>≈10.44</t>
  </si>
  <si>
    <t>Input #7</t>
  </si>
  <si>
    <t>478.06 (24.06)</t>
  </si>
  <si>
    <t>404.33 (19.93)</t>
  </si>
  <si>
    <t>≈7.46</t>
  </si>
  <si>
    <t>Key Takeaways</t>
  </si>
  <si>
    <r>
      <t>Clear Wins:</t>
    </r>
    <r>
      <rPr>
        <sz val="10"/>
        <color rgb="FF1F1F1F"/>
        <rFont val="Arial"/>
        <family val="2"/>
      </rPr>
      <t xml:space="preserve"> For </t>
    </r>
    <r>
      <rPr>
        <b/>
        <sz val="10"/>
        <color rgb="FF1F1F1F"/>
        <rFont val="Arial"/>
        <family val="2"/>
      </rPr>
      <t>Inputs #1, #2, #5, #6, and #7</t>
    </r>
    <r>
      <rPr>
        <sz val="10"/>
        <color rgb="FF1F1F1F"/>
        <rFont val="Arial"/>
        <family val="2"/>
      </rPr>
      <t xml:space="preserve">, </t>
    </r>
    <r>
      <rPr>
        <sz val="10"/>
        <color rgb="FF1F1F1F"/>
        <rFont val="Arial Unicode MS"/>
      </rPr>
      <t>divvier3b</t>
    </r>
    <r>
      <rPr>
        <sz val="10"/>
        <color rgb="FF1F1F1F"/>
        <rFont val="Arial"/>
        <family val="2"/>
      </rPr>
      <t xml:space="preserve"> consistently and significantly outperforms </t>
    </r>
    <r>
      <rPr>
        <sz val="10"/>
        <color rgb="FF1F1F1F"/>
        <rFont val="Arial Unicode MS"/>
      </rPr>
      <t>divvier3</t>
    </r>
    <r>
      <rPr>
        <sz val="10"/>
        <color rgb="FF1F1F1F"/>
        <rFont val="Arial"/>
        <family val="2"/>
      </rPr>
      <t>. The variance (SD) is tiny compared to the massive shifts in the mean runtimes, proving that the speedup is real and not a result of random background noise during testing.</t>
    </r>
  </si>
  <si>
    <r>
      <t>No Change:</t>
    </r>
    <r>
      <rPr>
        <sz val="10"/>
        <color rgb="FF1F1F1F"/>
        <rFont val="Arial"/>
        <family val="2"/>
      </rPr>
      <t xml:space="preserve"> For </t>
    </r>
    <r>
      <rPr>
        <b/>
        <sz val="10"/>
        <color rgb="FF1F1F1F"/>
        <rFont val="Arial"/>
        <family val="2"/>
      </rPr>
      <t>Inputs #3 and #4</t>
    </r>
    <r>
      <rPr>
        <sz val="10"/>
        <color rgb="FF1F1F1F"/>
        <rFont val="Arial"/>
        <family val="2"/>
      </rPr>
      <t>, the performance is virtually identical. The tiny fractional differences in the means are completely swallowed by the standard deviation, meaning you cannot claim either program is faster for these specific input types.</t>
    </r>
  </si>
  <si>
    <t>[pasted in A1-L101 above, i.e. all data]</t>
  </si>
  <si>
    <t>…the 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</si>
</sst>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9"/>
      <color rgb="FF0000FF"/>
      <name val="Courier New"/>
      <family val="3"/>
    </font>
    <font>
      <sz val="8"/>
      <color theme="1"/>
      <name val="Calibri"/>
      <family val="2"/>
      <scheme val="minor"/>
    </font>
    <font>
      <sz val="10"/>
      <color rgb="FF1F1F1F"/>
      <name val="Arial"/>
      <family val="2"/>
    </font>
    <font>
      <sz val="10"/>
      <color rgb="FF1F1F1F"/>
      <name val="Arial Unicode MS"/>
    </font>
    <font>
      <b/>
      <sz val="10"/>
      <color rgb="FF1F1F1F"/>
      <name val="Arial"/>
      <family val="2"/>
    </font>
    <font>
      <sz val="13.3"/>
      <color rgb="FF1F1F1F"/>
      <name val="Times New Roman"/>
      <family val="1"/>
    </font>
    <font>
      <i/>
      <sz val="13.3"/>
      <color rgb="FF1F1F1F"/>
      <name val="KaTeX_Math"/>
    </font>
    <font>
      <sz val="7.7"/>
      <color rgb="FF1F1F1F"/>
      <name val="Times New Roman"/>
      <family val="1"/>
    </font>
    <font>
      <sz val="1"/>
      <color rgb="FF1F1F1F"/>
      <name val="Times New Roman"/>
      <family val="1"/>
    </font>
    <font>
      <sz val="12"/>
      <color rgb="FF1F1F1F"/>
      <name val="Arial"/>
      <family val="2"/>
    </font>
    <font>
      <b/>
      <sz val="24"/>
      <color theme="9" tint="-0.249977111117893"/>
      <name val="Calibri"/>
      <family val="2"/>
      <scheme val="minor"/>
    </font>
    <font>
      <sz val="11"/>
      <color theme="9" tint="-0.249977111117893"/>
      <name val="Calibri"/>
      <family val="2"/>
      <scheme val="minor"/>
    </font>
    <font>
      <sz val="10"/>
      <color theme="9" tint="-0.249977111117893"/>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1" fillId="0" borderId="0" xfId="0" applyFont="1" applyAlignment="1">
      <alignment vertical="center"/>
    </xf>
    <xf numFmtId="2" fontId="0" fillId="0" borderId="0" xfId="0" applyNumberFormat="1"/>
    <xf numFmtId="2" fontId="2" fillId="0" borderId="0" xfId="0" applyNumberFormat="1" applyFont="1"/>
    <xf numFmtId="0" fontId="3" fillId="0" borderId="0" xfId="0" applyFont="1" applyAlignment="1">
      <alignment vertical="center"/>
    </xf>
    <xf numFmtId="0" fontId="10" fillId="0" borderId="0" xfId="0" applyFont="1" applyAlignment="1">
      <alignment vertical="center"/>
    </xf>
    <xf numFmtId="0" fontId="3" fillId="0" borderId="0" xfId="0" applyFont="1" applyAlignment="1">
      <alignment horizontal="center" vertical="top" wrapText="1"/>
    </xf>
    <xf numFmtId="0" fontId="4" fillId="0" borderId="0" xfId="0" applyFont="1" applyAlignment="1">
      <alignment horizontal="center" vertical="top" wrapText="1"/>
    </xf>
    <xf numFmtId="0" fontId="5" fillId="0" borderId="0" xfId="0" applyFont="1" applyAlignment="1">
      <alignment vertical="top" wrapText="1" indent="1"/>
    </xf>
    <xf numFmtId="0" fontId="3" fillId="0" borderId="0" xfId="0" applyFont="1" applyAlignment="1">
      <alignment vertical="top" wrapText="1" indent="1"/>
    </xf>
    <xf numFmtId="0" fontId="6" fillId="0" borderId="0" xfId="0" applyFont="1" applyAlignment="1">
      <alignment vertical="top" wrapText="1" indent="1"/>
    </xf>
    <xf numFmtId="0" fontId="4" fillId="0" borderId="0" xfId="0" applyFont="1" applyAlignment="1">
      <alignment vertical="top" wrapText="1" indent="1"/>
    </xf>
    <xf numFmtId="0" fontId="5" fillId="0" borderId="0" xfId="0" applyFont="1" applyAlignment="1">
      <alignment horizontal="left" vertical="center" indent="1"/>
    </xf>
    <xf numFmtId="0" fontId="11" fillId="0" borderId="0" xfId="0" applyFont="1" applyAlignment="1">
      <alignment vertical="center"/>
    </xf>
    <xf numFmtId="0" fontId="12" fillId="0" borderId="0" xfId="0" applyFont="1"/>
    <xf numFmtId="2" fontId="12" fillId="0" borderId="0" xfId="0" applyNumberFormat="1" applyFont="1"/>
    <xf numFmtId="0" fontId="13"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5"/>
  <sheetViews>
    <sheetView tabSelected="1" workbookViewId="0">
      <selection activeCell="P16" sqref="P16"/>
    </sheetView>
  </sheetViews>
  <sheetFormatPr defaultRowHeight="14.4"/>
  <cols>
    <col min="4" max="4" width="8.88671875" style="2"/>
    <col min="7" max="7" width="8.88671875" style="2"/>
  </cols>
  <sheetData>
    <row r="1" spans="1:9">
      <c r="C1" t="s">
        <v>2</v>
      </c>
      <c r="F1" t="s">
        <v>3</v>
      </c>
    </row>
    <row r="2" spans="1:9">
      <c r="D2" s="3" t="s">
        <v>12</v>
      </c>
      <c r="G2" s="3" t="s">
        <v>12</v>
      </c>
      <c r="I2" t="s">
        <v>11</v>
      </c>
    </row>
    <row r="4" spans="1:9">
      <c r="A4" t="s">
        <v>4</v>
      </c>
      <c r="C4" s="1">
        <v>8.0072879791259695</v>
      </c>
      <c r="F4" s="1">
        <v>5.1074028015136701</v>
      </c>
    </row>
    <row r="5" spans="1:9">
      <c r="C5" s="1">
        <v>6.0074329376220703</v>
      </c>
      <c r="F5" s="1">
        <v>4.0049552917480398</v>
      </c>
    </row>
    <row r="6" spans="1:9">
      <c r="C6" s="1">
        <v>7.0071220397949201</v>
      </c>
      <c r="F6" s="1">
        <v>5.0082206726074201</v>
      </c>
    </row>
    <row r="7" spans="1:9">
      <c r="C7" s="1">
        <v>6.12044334411621</v>
      </c>
      <c r="F7" s="1">
        <v>3.0026435852050701</v>
      </c>
    </row>
    <row r="8" spans="1:9">
      <c r="C8" s="1">
        <v>6.0071945190429599</v>
      </c>
      <c r="F8" s="1">
        <v>3.8025379180908199</v>
      </c>
    </row>
    <row r="9" spans="1:9">
      <c r="C9" s="1">
        <v>7.0073604583740199</v>
      </c>
      <c r="F9" s="1">
        <v>5.0077438354492099</v>
      </c>
    </row>
    <row r="10" spans="1:9">
      <c r="C10" s="1">
        <v>6.12640380859375</v>
      </c>
      <c r="F10" s="1">
        <v>4.00638580322265</v>
      </c>
    </row>
    <row r="11" spans="1:9">
      <c r="C11" s="1">
        <v>6.0093402862548801</v>
      </c>
      <c r="F11" s="1">
        <v>3.00765037536621</v>
      </c>
    </row>
    <row r="12" spans="1:9">
      <c r="C12" s="1">
        <v>5.9971809387206996</v>
      </c>
      <c r="F12" s="1">
        <v>4.0075778961181596</v>
      </c>
    </row>
    <row r="13" spans="1:9">
      <c r="C13" s="1">
        <v>5.9049129486083896</v>
      </c>
      <c r="F13" s="1">
        <v>3.0062198638915998</v>
      </c>
    </row>
    <row r="14" spans="1:9">
      <c r="A14" t="s">
        <v>0</v>
      </c>
      <c r="C14">
        <f>AVERAGE(C4:C13)</f>
        <v>6.419467926025388</v>
      </c>
      <c r="D14" s="2">
        <f>C14</f>
        <v>6.419467926025388</v>
      </c>
      <c r="F14">
        <f>AVERAGE(F4:F13)</f>
        <v>3.9961338043212846</v>
      </c>
      <c r="G14" s="2">
        <f>F14</f>
        <v>3.9961338043212846</v>
      </c>
      <c r="I14">
        <f>G14/D14</f>
        <v>0.62250233981548841</v>
      </c>
    </row>
    <row r="15" spans="1:9">
      <c r="A15" t="s">
        <v>1</v>
      </c>
      <c r="C15">
        <f>STDEV(C4:C13)</f>
        <v>0.69429978992989161</v>
      </c>
      <c r="D15" s="2">
        <f>C15</f>
        <v>0.69429978992989161</v>
      </c>
      <c r="F15">
        <f>STDEV(F4:F13)</f>
        <v>0.83429535397221488</v>
      </c>
      <c r="G15" s="2">
        <f>F15</f>
        <v>0.83429535397221488</v>
      </c>
    </row>
    <row r="20" spans="1:9">
      <c r="A20" t="s">
        <v>5</v>
      </c>
      <c r="C20" s="1">
        <v>6.9968700408935502</v>
      </c>
      <c r="F20" s="1">
        <v>3.9982795715332</v>
      </c>
    </row>
    <row r="21" spans="1:9">
      <c r="C21" s="1">
        <v>7.1163177490234304</v>
      </c>
      <c r="F21" s="1">
        <v>4.1205883026123002</v>
      </c>
    </row>
    <row r="22" spans="1:9">
      <c r="C22" s="1">
        <v>8.1195831298828107</v>
      </c>
      <c r="F22" s="1">
        <v>3.9987564086914</v>
      </c>
    </row>
    <row r="23" spans="1:9">
      <c r="C23" s="1">
        <v>7.0075988769531197</v>
      </c>
      <c r="F23" s="1">
        <v>3.0148029327392498</v>
      </c>
    </row>
    <row r="24" spans="1:9">
      <c r="C24" s="1">
        <v>5.7406425476074201</v>
      </c>
      <c r="F24" s="1">
        <v>2.9985904693603498</v>
      </c>
    </row>
    <row r="25" spans="1:9">
      <c r="C25" s="1">
        <v>7.0071220397949201</v>
      </c>
      <c r="F25" s="1">
        <v>5.0084590911865199</v>
      </c>
    </row>
    <row r="26" spans="1:9">
      <c r="C26" s="1">
        <v>6.1056613922119096</v>
      </c>
      <c r="F26" s="1">
        <v>4.0109157562255797</v>
      </c>
    </row>
    <row r="27" spans="1:9">
      <c r="C27" s="1">
        <v>6.10280036926269</v>
      </c>
      <c r="F27" s="1">
        <v>3.0062198638915998</v>
      </c>
    </row>
    <row r="28" spans="1:9">
      <c r="C28" s="1">
        <v>6.9973468780517498</v>
      </c>
      <c r="F28" s="1">
        <v>4.0078163146972603</v>
      </c>
    </row>
    <row r="29" spans="1:9">
      <c r="C29" s="1">
        <v>4.99820709228515</v>
      </c>
      <c r="F29" s="1">
        <v>3.1087398529052699</v>
      </c>
    </row>
    <row r="30" spans="1:9">
      <c r="C30">
        <f>AVERAGE(C20:C29)</f>
        <v>6.6192150115966752</v>
      </c>
      <c r="D30" s="2">
        <f>C30</f>
        <v>6.6192150115966752</v>
      </c>
      <c r="F30">
        <f>AVERAGE(F20:F29)</f>
        <v>3.7273168563842729</v>
      </c>
      <c r="G30" s="2">
        <f>F30</f>
        <v>3.7273168563842729</v>
      </c>
      <c r="I30">
        <f>G30/D30</f>
        <v>0.56310557216439117</v>
      </c>
    </row>
    <row r="31" spans="1:9">
      <c r="C31">
        <f>STDEV(C20:C29)</f>
        <v>0.88286869494684961</v>
      </c>
      <c r="D31" s="2">
        <f>C31</f>
        <v>0.88286869494684961</v>
      </c>
      <c r="F31">
        <f>STDEV(F20:F29)</f>
        <v>0.67028459811428143</v>
      </c>
      <c r="G31" s="2">
        <f>F31</f>
        <v>0.67028459811428143</v>
      </c>
    </row>
    <row r="34" spans="1:9">
      <c r="A34" t="s">
        <v>10</v>
      </c>
      <c r="C34" s="1">
        <v>7.0068836212158203</v>
      </c>
      <c r="F34" s="1">
        <v>5.99837303161621</v>
      </c>
    </row>
    <row r="35" spans="1:9">
      <c r="C35" s="1">
        <v>7.0071220397949201</v>
      </c>
      <c r="F35" s="1">
        <v>7.0066452026367099</v>
      </c>
    </row>
    <row r="36" spans="1:9">
      <c r="C36" s="1">
        <v>7.0056915283203098</v>
      </c>
      <c r="F36" s="1">
        <v>8.0466270446777308</v>
      </c>
    </row>
    <row r="37" spans="1:9">
      <c r="C37" s="1">
        <v>7.0068836212158203</v>
      </c>
      <c r="F37" s="1">
        <v>6.0071945190429599</v>
      </c>
    </row>
    <row r="38" spans="1:9">
      <c r="C38" s="1">
        <v>6.0126781463623002</v>
      </c>
      <c r="F38" s="1">
        <v>6.0153007507324201</v>
      </c>
    </row>
    <row r="39" spans="1:9">
      <c r="C39" s="1">
        <v>7.0071220397949201</v>
      </c>
      <c r="F39" s="1">
        <v>7.0071220397949201</v>
      </c>
    </row>
    <row r="40" spans="1:9">
      <c r="C40" s="1">
        <v>6.0071945190429599</v>
      </c>
      <c r="F40" s="1">
        <v>6.0019493103027299</v>
      </c>
    </row>
    <row r="41" spans="1:9">
      <c r="C41" s="1">
        <v>6.0622692108154297</v>
      </c>
      <c r="F41" s="1">
        <v>6.1440467834472603</v>
      </c>
    </row>
    <row r="42" spans="1:9">
      <c r="C42" s="1">
        <v>5.99837303161621</v>
      </c>
      <c r="F42" s="1">
        <v>6.9973468780517498</v>
      </c>
    </row>
    <row r="43" spans="1:9">
      <c r="C43" s="1">
        <v>5.8104991912841797</v>
      </c>
      <c r="F43" s="1">
        <v>6.0076713562011701</v>
      </c>
    </row>
    <row r="44" spans="1:9">
      <c r="C44">
        <f>AVERAGE(C34:C43)</f>
        <v>6.4924716949462873</v>
      </c>
      <c r="D44" s="2">
        <f>C44</f>
        <v>6.4924716949462873</v>
      </c>
      <c r="F44">
        <f>AVERAGE(F34:F43)</f>
        <v>6.5232276916503862</v>
      </c>
      <c r="G44" s="2">
        <f>F44</f>
        <v>6.5232276916503862</v>
      </c>
      <c r="I44">
        <f t="shared" ref="I44:I86" si="0">G44/D44</f>
        <v>1.0047371784043417</v>
      </c>
    </row>
    <row r="45" spans="1:9">
      <c r="C45">
        <f>STDEV(C34:C43)</f>
        <v>0.54592976359137102</v>
      </c>
      <c r="D45" s="2">
        <f>C45</f>
        <v>0.54592976359137102</v>
      </c>
      <c r="F45">
        <f t="shared" ref="F45" si="1">STDEV(F34:F43)</f>
        <v>0.70666988171765721</v>
      </c>
      <c r="G45" s="2">
        <f>F45</f>
        <v>0.70666988171765721</v>
      </c>
    </row>
    <row r="48" spans="1:9">
      <c r="A48" t="s">
        <v>9</v>
      </c>
      <c r="C48" s="1">
        <v>8.1026554107665998</v>
      </c>
      <c r="F48" s="1">
        <v>8.0173015594482404</v>
      </c>
    </row>
    <row r="49" spans="1:9">
      <c r="C49" s="1">
        <v>6.9983005523681596</v>
      </c>
      <c r="F49" s="1">
        <v>7.0505142211914</v>
      </c>
    </row>
    <row r="50" spans="1:9">
      <c r="C50" s="1">
        <v>9.0088844299316406</v>
      </c>
      <c r="F50" s="1">
        <v>8.0959796905517507</v>
      </c>
    </row>
    <row r="51" spans="1:9">
      <c r="C51" s="1">
        <v>8.0072879791259695</v>
      </c>
      <c r="F51" s="1">
        <v>8.0099105834960902</v>
      </c>
    </row>
    <row r="52" spans="1:9">
      <c r="C52" s="1">
        <v>8.0070495605468697</v>
      </c>
      <c r="F52" s="1">
        <v>7.7977180480956996</v>
      </c>
    </row>
    <row r="53" spans="1:9">
      <c r="C53" s="1">
        <v>7.9970359802245996</v>
      </c>
      <c r="F53" s="1">
        <v>7.9977512359619096</v>
      </c>
    </row>
    <row r="54" spans="1:9">
      <c r="C54" s="1">
        <v>7.8155994415283203</v>
      </c>
      <c r="F54" s="1">
        <v>7.0998668670654297</v>
      </c>
    </row>
    <row r="55" spans="1:9">
      <c r="C55" s="1">
        <v>7.0078372955322203</v>
      </c>
      <c r="F55" s="1">
        <v>7.0083141326904297</v>
      </c>
    </row>
    <row r="56" spans="1:9">
      <c r="C56" s="1">
        <v>9.1149806976318306</v>
      </c>
      <c r="F56" s="1">
        <v>9.0141296386718697</v>
      </c>
    </row>
    <row r="57" spans="1:9">
      <c r="C57" s="1">
        <v>6.9975852966308496</v>
      </c>
      <c r="F57" s="1">
        <v>9.0043544769287092</v>
      </c>
    </row>
    <row r="58" spans="1:9">
      <c r="C58">
        <f>AVERAGE(C48:C57)</f>
        <v>7.9057216644287056</v>
      </c>
      <c r="D58" s="2">
        <f>C58</f>
        <v>7.9057216644287056</v>
      </c>
      <c r="F58">
        <f>AVERAGE(F48:F57)</f>
        <v>7.9095840454101536</v>
      </c>
      <c r="G58" s="2">
        <f>F58</f>
        <v>7.9095840454101536</v>
      </c>
      <c r="I58">
        <f t="shared" si="0"/>
        <v>1.0004885551434004</v>
      </c>
    </row>
    <row r="59" spans="1:9">
      <c r="C59">
        <f>STDEV(C48:C57)</f>
        <v>0.76080533736033329</v>
      </c>
      <c r="D59" s="2">
        <f>C59</f>
        <v>0.76080533736033329</v>
      </c>
      <c r="F59">
        <f>STDEV(F48:F57)</f>
        <v>0.72273960741460486</v>
      </c>
      <c r="G59" s="2">
        <f>F59</f>
        <v>0.72273960741460486</v>
      </c>
    </row>
    <row r="62" spans="1:9">
      <c r="A62" t="s">
        <v>8</v>
      </c>
      <c r="C62" s="1">
        <v>7.0097446441650302</v>
      </c>
      <c r="F62" s="1">
        <v>6.99710845947265</v>
      </c>
    </row>
    <row r="63" spans="1:9">
      <c r="C63" s="1">
        <v>6.8080425262451101</v>
      </c>
      <c r="F63" s="1">
        <v>4.9986839294433496</v>
      </c>
    </row>
    <row r="64" spans="1:9">
      <c r="C64" s="1">
        <v>8.0106258392333896</v>
      </c>
      <c r="F64" s="1">
        <v>5.9847831726074201</v>
      </c>
    </row>
    <row r="65" spans="1:9">
      <c r="C65" s="1">
        <v>6.0114860534667898</v>
      </c>
      <c r="F65" s="1">
        <v>5.0075054168701101</v>
      </c>
    </row>
    <row r="66" spans="1:9">
      <c r="C66" s="1">
        <v>6.0098171234130797</v>
      </c>
      <c r="F66" s="1">
        <v>5.0048828125</v>
      </c>
    </row>
    <row r="67" spans="1:9">
      <c r="C67" s="1">
        <v>8.0070495605468697</v>
      </c>
      <c r="F67" s="1">
        <v>6.0129165649414</v>
      </c>
    </row>
    <row r="68" spans="1:9">
      <c r="C68" s="1">
        <v>6.0048103332519496</v>
      </c>
      <c r="F68" s="1">
        <v>5.0075054168701101</v>
      </c>
    </row>
    <row r="69" spans="1:9">
      <c r="C69" s="1">
        <v>6.0086250305175701</v>
      </c>
      <c r="F69" s="1">
        <v>5.0079822540283203</v>
      </c>
    </row>
    <row r="70" spans="1:9">
      <c r="C70" s="1">
        <v>6.1075687408447203</v>
      </c>
      <c r="F70" s="1">
        <v>5.8002471923828098</v>
      </c>
    </row>
    <row r="71" spans="1:9">
      <c r="C71" s="1">
        <v>6.9987773895263601</v>
      </c>
      <c r="F71" s="1">
        <v>3.9997100830078098</v>
      </c>
    </row>
    <row r="72" spans="1:9">
      <c r="C72">
        <f>AVERAGE(C62:C71)</f>
        <v>6.6976547241210884</v>
      </c>
      <c r="D72" s="2">
        <f>C72</f>
        <v>6.6976547241210884</v>
      </c>
      <c r="F72">
        <f>AVERAGE(F62:F71)</f>
        <v>5.3821325302123988</v>
      </c>
      <c r="G72" s="2">
        <f>F72</f>
        <v>5.3821325302123988</v>
      </c>
      <c r="I72">
        <f t="shared" si="0"/>
        <v>0.8035846504342874</v>
      </c>
    </row>
    <row r="73" spans="1:9">
      <c r="C73">
        <f>STDEV(C62:C71)</f>
        <v>0.80867609071657365</v>
      </c>
      <c r="D73" s="2">
        <f>C73</f>
        <v>0.80867609071657365</v>
      </c>
      <c r="F73">
        <f t="shared" ref="F73" si="2">STDEV(F62:F71)</f>
        <v>0.82765832972119047</v>
      </c>
      <c r="G73" s="2">
        <f>F73</f>
        <v>0.82765832972119047</v>
      </c>
    </row>
    <row r="76" spans="1:9">
      <c r="A76" t="s">
        <v>7</v>
      </c>
      <c r="C76" s="1">
        <v>82.9968452453613</v>
      </c>
      <c r="F76" s="1">
        <v>55.0482273101806</v>
      </c>
    </row>
    <row r="77" spans="1:9">
      <c r="C77" s="1">
        <v>78.007459640502901</v>
      </c>
      <c r="F77" s="1">
        <v>53.997755050659102</v>
      </c>
    </row>
    <row r="78" spans="1:9">
      <c r="C78" s="1">
        <v>79.010248184204102</v>
      </c>
      <c r="F78" s="1">
        <v>57.001113891601499</v>
      </c>
    </row>
    <row r="79" spans="1:9">
      <c r="C79" s="1">
        <v>77.801465988159094</v>
      </c>
      <c r="F79" s="1">
        <v>58.114290237426701</v>
      </c>
    </row>
    <row r="80" spans="1:9">
      <c r="C80" s="1">
        <v>84.007501602172795</v>
      </c>
      <c r="F80" s="1">
        <v>63.122987747192298</v>
      </c>
    </row>
    <row r="81" spans="1:9">
      <c r="C81" s="1">
        <v>77.001333236694293</v>
      </c>
      <c r="F81" s="1">
        <v>48.007726669311502</v>
      </c>
    </row>
    <row r="82" spans="1:9">
      <c r="C82" s="1">
        <v>76.998710632324205</v>
      </c>
      <c r="F82" s="1">
        <v>50.996303558349602</v>
      </c>
    </row>
    <row r="83" spans="1:9">
      <c r="C83" s="1">
        <v>89.160919189453097</v>
      </c>
      <c r="F83" s="1">
        <v>62.909603118896399</v>
      </c>
    </row>
    <row r="84" spans="1:9">
      <c r="C84" s="1">
        <v>81.996917724609304</v>
      </c>
      <c r="F84" s="1">
        <v>61.975955963134702</v>
      </c>
    </row>
    <row r="85" spans="1:9">
      <c r="C85" s="1">
        <v>88.014602661132798</v>
      </c>
      <c r="F85" s="1">
        <v>64.997911453246999</v>
      </c>
    </row>
    <row r="86" spans="1:9">
      <c r="C86">
        <f>AVERAGE(C76:C85)</f>
        <v>81.499600410461397</v>
      </c>
      <c r="D86" s="2">
        <f>C86</f>
        <v>81.499600410461397</v>
      </c>
      <c r="F86">
        <f>AVERAGE(F76:F85)</f>
        <v>57.617187499999943</v>
      </c>
      <c r="G86" s="2">
        <f>F86</f>
        <v>57.617187499999943</v>
      </c>
      <c r="I86">
        <f t="shared" si="0"/>
        <v>0.70696282202389948</v>
      </c>
    </row>
    <row r="87" spans="1:9">
      <c r="C87">
        <f>STDEV(C76:C85)</f>
        <v>4.5028414607282965</v>
      </c>
      <c r="D87" s="2">
        <f>C87</f>
        <v>4.5028414607282965</v>
      </c>
      <c r="F87">
        <f t="shared" ref="F87" si="3">STDEV(F76:F85)</f>
        <v>5.6598173821585309</v>
      </c>
      <c r="G87" s="2">
        <f>F87</f>
        <v>5.6598173821585309</v>
      </c>
    </row>
    <row r="90" spans="1:9">
      <c r="A90" t="s">
        <v>6</v>
      </c>
      <c r="C90" s="1">
        <v>470.07226943969698</v>
      </c>
      <c r="F90" s="1">
        <v>404.99734878539999</v>
      </c>
    </row>
    <row r="91" spans="1:9">
      <c r="C91" s="1">
        <v>503.03554534912098</v>
      </c>
      <c r="F91" s="1">
        <v>401.999473571777</v>
      </c>
    </row>
    <row r="92" spans="1:9">
      <c r="C92" s="1">
        <v>468.024015426635</v>
      </c>
      <c r="F92" s="1">
        <v>410.00652313232399</v>
      </c>
    </row>
    <row r="93" spans="1:9">
      <c r="C93" s="1">
        <v>515.02037048339798</v>
      </c>
      <c r="F93" s="1">
        <v>420.99642753601</v>
      </c>
    </row>
    <row r="94" spans="1:9">
      <c r="C94" s="1">
        <v>483.97850990295399</v>
      </c>
      <c r="F94" s="1">
        <v>416.008234024047</v>
      </c>
    </row>
    <row r="95" spans="1:9">
      <c r="C95" s="1">
        <v>491.11652374267499</v>
      </c>
      <c r="F95" s="1">
        <v>444.22864913940401</v>
      </c>
    </row>
    <row r="96" spans="1:9">
      <c r="C96" s="1">
        <v>458.99605751037598</v>
      </c>
      <c r="F96" s="1">
        <v>388.01598548889098</v>
      </c>
    </row>
    <row r="97" spans="1:9">
      <c r="C97" s="1">
        <v>497.10512161254798</v>
      </c>
      <c r="F97" s="1">
        <v>396.013736724853</v>
      </c>
    </row>
    <row r="98" spans="1:9">
      <c r="C98" s="1">
        <v>437.99996376037598</v>
      </c>
      <c r="F98" s="1">
        <v>385.99729537963799</v>
      </c>
    </row>
    <row r="99" spans="1:9">
      <c r="C99" s="1">
        <v>455.23643493652298</v>
      </c>
      <c r="F99" s="1">
        <v>374.99856948852499</v>
      </c>
    </row>
    <row r="100" spans="1:9">
      <c r="C100">
        <f>AVERAGE(C90:C99)</f>
        <v>478.05848121643032</v>
      </c>
      <c r="D100" s="2">
        <f>C100</f>
        <v>478.05848121643032</v>
      </c>
      <c r="F100">
        <f>AVERAGE(F90:F99)</f>
        <v>404.32622432708689</v>
      </c>
      <c r="G100" s="2">
        <f>F100</f>
        <v>404.32622432708689</v>
      </c>
      <c r="I100">
        <f t="shared" ref="I100" si="4">G100/D100</f>
        <v>0.84576728624972808</v>
      </c>
    </row>
    <row r="101" spans="1:9">
      <c r="C101">
        <f>STDEV(C90:C99)</f>
        <v>24.064139785339911</v>
      </c>
      <c r="D101" s="2">
        <f>C101</f>
        <v>24.064139785339911</v>
      </c>
      <c r="F101">
        <f t="shared" ref="F101" si="5">STDEV(F90:F99)</f>
        <v>19.932889679869636</v>
      </c>
      <c r="G101" s="2">
        <f>F101</f>
        <v>19.932889679869636</v>
      </c>
    </row>
    <row r="106" spans="1:9" s="14" customFormat="1" ht="31.2">
      <c r="A106" s="13" t="s">
        <v>13</v>
      </c>
      <c r="G106" s="15"/>
    </row>
    <row r="107" spans="1:9" s="14" customFormat="1">
      <c r="A107" s="16" t="s">
        <v>14</v>
      </c>
      <c r="G107" s="15"/>
    </row>
    <row r="108" spans="1:9" s="14" customFormat="1">
      <c r="A108" s="16" t="s">
        <v>61</v>
      </c>
      <c r="G108" s="15"/>
    </row>
    <row r="109" spans="1:9" s="14" customFormat="1">
      <c r="A109" s="16" t="s">
        <v>62</v>
      </c>
      <c r="G109" s="15"/>
    </row>
    <row r="110" spans="1:9">
      <c r="A110" s="4"/>
      <c r="D110"/>
    </row>
    <row r="111" spans="1:9" ht="17.399999999999999">
      <c r="A111" s="4" t="s">
        <v>15</v>
      </c>
      <c r="D111"/>
    </row>
    <row r="112" spans="1:9" ht="17.399999999999999">
      <c r="A112" s="4" t="s">
        <v>16</v>
      </c>
      <c r="D112"/>
    </row>
    <row r="113" spans="1:6">
      <c r="A113" s="4" t="s">
        <v>17</v>
      </c>
      <c r="D113"/>
    </row>
    <row r="114" spans="1:6" ht="15">
      <c r="A114" s="5" t="s">
        <v>18</v>
      </c>
      <c r="D114"/>
    </row>
    <row r="115" spans="1:6" ht="52.8">
      <c r="A115" s="6" t="s">
        <v>19</v>
      </c>
      <c r="B115" s="7" t="s">
        <v>20</v>
      </c>
      <c r="C115" s="7" t="s">
        <v>21</v>
      </c>
      <c r="D115" s="6" t="s">
        <v>22</v>
      </c>
      <c r="E115" s="6" t="s">
        <v>23</v>
      </c>
      <c r="F115" s="6" t="s">
        <v>24</v>
      </c>
    </row>
    <row r="116" spans="1:6" ht="66">
      <c r="A116" s="8" t="s">
        <v>25</v>
      </c>
      <c r="B116" s="9" t="s">
        <v>26</v>
      </c>
      <c r="C116" s="9" t="s">
        <v>27</v>
      </c>
      <c r="D116" s="10" t="s">
        <v>28</v>
      </c>
      <c r="E116" s="8" t="s">
        <v>29</v>
      </c>
      <c r="F116" s="11" t="s">
        <v>30</v>
      </c>
    </row>
    <row r="117" spans="1:6" ht="66">
      <c r="A117" s="8" t="s">
        <v>31</v>
      </c>
      <c r="B117" s="9" t="s">
        <v>32</v>
      </c>
      <c r="C117" s="9" t="s">
        <v>33</v>
      </c>
      <c r="D117" s="10" t="s">
        <v>34</v>
      </c>
      <c r="E117" s="8" t="s">
        <v>29</v>
      </c>
      <c r="F117" s="11" t="s">
        <v>30</v>
      </c>
    </row>
    <row r="118" spans="1:6" ht="92.4">
      <c r="A118" s="8" t="s">
        <v>35</v>
      </c>
      <c r="B118" s="9" t="s">
        <v>36</v>
      </c>
      <c r="C118" s="9" t="s">
        <v>37</v>
      </c>
      <c r="D118" s="10" t="s">
        <v>38</v>
      </c>
      <c r="E118" s="8" t="s">
        <v>39</v>
      </c>
      <c r="F118" s="9" t="s">
        <v>40</v>
      </c>
    </row>
    <row r="119" spans="1:6" ht="92.4">
      <c r="A119" s="8" t="s">
        <v>41</v>
      </c>
      <c r="B119" s="9" t="s">
        <v>42</v>
      </c>
      <c r="C119" s="9" t="s">
        <v>43</v>
      </c>
      <c r="D119" s="10" t="s">
        <v>44</v>
      </c>
      <c r="E119" s="8" t="s">
        <v>39</v>
      </c>
      <c r="F119" s="9" t="s">
        <v>40</v>
      </c>
    </row>
    <row r="120" spans="1:6" ht="66">
      <c r="A120" s="8" t="s">
        <v>45</v>
      </c>
      <c r="B120" s="9" t="s">
        <v>46</v>
      </c>
      <c r="C120" s="9" t="s">
        <v>47</v>
      </c>
      <c r="D120" s="10" t="s">
        <v>48</v>
      </c>
      <c r="E120" s="8" t="s">
        <v>49</v>
      </c>
      <c r="F120" s="11" t="s">
        <v>30</v>
      </c>
    </row>
    <row r="121" spans="1:6" ht="66">
      <c r="A121" s="8" t="s">
        <v>50</v>
      </c>
      <c r="B121" s="9" t="s">
        <v>51</v>
      </c>
      <c r="C121" s="9" t="s">
        <v>52</v>
      </c>
      <c r="D121" s="10" t="s">
        <v>53</v>
      </c>
      <c r="E121" s="8" t="s">
        <v>29</v>
      </c>
      <c r="F121" s="11" t="s">
        <v>30</v>
      </c>
    </row>
    <row r="122" spans="1:6" ht="66">
      <c r="A122" s="8" t="s">
        <v>54</v>
      </c>
      <c r="B122" s="9" t="s">
        <v>55</v>
      </c>
      <c r="C122" s="9" t="s">
        <v>56</v>
      </c>
      <c r="D122" s="10" t="s">
        <v>57</v>
      </c>
      <c r="E122" s="8" t="s">
        <v>29</v>
      </c>
      <c r="F122" s="11" t="s">
        <v>30</v>
      </c>
    </row>
    <row r="123" spans="1:6" ht="15">
      <c r="A123" s="5" t="s">
        <v>58</v>
      </c>
      <c r="D123"/>
    </row>
    <row r="124" spans="1:6">
      <c r="A124" s="12" t="s">
        <v>59</v>
      </c>
      <c r="D124"/>
    </row>
    <row r="125" spans="1:6">
      <c r="A125" s="12" t="s">
        <v>60</v>
      </c>
      <c r="D12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Elaine Byrne</dc:creator>
  <cp:lastModifiedBy>Elaine Byrne</cp:lastModifiedBy>
  <dcterms:created xsi:type="dcterms:W3CDTF">2015-06-05T18:17:20Z</dcterms:created>
  <dcterms:modified xsi:type="dcterms:W3CDTF">2026-06-20T22:06:38Z</dcterms:modified>
</cp:coreProperties>
</file>